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PET_CBM_Projects\PET_SNES_Gamepad_Adapter\Rev. 0\Excel\"/>
    </mc:Choice>
  </mc:AlternateContent>
  <xr:revisionPtr revIDLastSave="0" documentId="13_ncr:1_{D697A091-C056-4FC6-9B8D-4C072CC79AC7}" xr6:coauthVersionLast="47" xr6:coauthVersionMax="47" xr10:uidLastSave="{00000000-0000-0000-0000-000000000000}"/>
  <bookViews>
    <workbookView xWindow="4332" yWindow="408" windowWidth="27036" windowHeight="14700" xr2:uid="{00000000-000D-0000-FFFF-FFFF00000000}"/>
  </bookViews>
  <sheets>
    <sheet name="Stückliste" sheetId="1" r:id="rId1"/>
  </sheets>
  <definedNames>
    <definedName name="_xlnm.Print_Area" localSheetId="0">Stückliste!$A$1:$F$16</definedName>
    <definedName name="_xlnm.Print_Titles" localSheetId="0">Stückliste!$1:$3</definedName>
  </definedNames>
  <calcPr calcId="181029"/>
</workbook>
</file>

<file path=xl/calcChain.xml><?xml version="1.0" encoding="utf-8"?>
<calcChain xmlns="http://schemas.openxmlformats.org/spreadsheetml/2006/main">
  <c r="E17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5" i="1"/>
</calcChain>
</file>

<file path=xl/sharedStrings.xml><?xml version="1.0" encoding="utf-8"?>
<sst xmlns="http://schemas.openxmlformats.org/spreadsheetml/2006/main" count="35" uniqueCount="33">
  <si>
    <t>Pos.</t>
  </si>
  <si>
    <t>Qty</t>
  </si>
  <si>
    <t>Value</t>
  </si>
  <si>
    <t>Comment</t>
  </si>
  <si>
    <t>PET SNES Gamepad Adapter Rev. 0</t>
  </si>
  <si>
    <t>221-2-01-00</t>
  </si>
  <si>
    <t>2 layer, Cu 35µ, HASL, 71.0mm x 43.0mm, 1.6mm FR4</t>
  </si>
  <si>
    <t>100n</t>
  </si>
  <si>
    <t>10k</t>
  </si>
  <si>
    <t>10u/16V</t>
  </si>
  <si>
    <t>27k</t>
  </si>
  <si>
    <t>330p</t>
  </si>
  <si>
    <t>5x4k7</t>
  </si>
  <si>
    <t>FCR681465P</t>
  </si>
  <si>
    <t>RCJ-022</t>
  </si>
  <si>
    <t>RCJ-023</t>
  </si>
  <si>
    <t>SNES-GAMEPAD-CONN-vert</t>
  </si>
  <si>
    <t>2x3 box header, 2.54mm</t>
  </si>
  <si>
    <t>e.g. Reichelt WSL 6G.</t>
  </si>
  <si>
    <t>Edge connector, 2x12, 3.96mm</t>
  </si>
  <si>
    <t>edge connector, C64 user port, Ali Express, "series 805" or other</t>
  </si>
  <si>
    <t xml:space="preserve">Cliff. 2,5mm/5.5mm barrel connector. E.g. Reichelt CLIFF FCR681465P </t>
  </si>
  <si>
    <t>CUI Inc., RCA jack, vertical, red. Mouser: 490-RCJ-022, Digikey:  CP-1407-ND. Alternative part: Keystone 577</t>
  </si>
  <si>
    <t>CUI Inc., RCA jack, vertical, white. Mouser: 490-RCJ-023, Digikey:  CP-1408-ND. Alternative part: Keystone 584</t>
  </si>
  <si>
    <t>1/4W, 1% or better</t>
  </si>
  <si>
    <t>Resistor network 4 pin, 5 resistors</t>
  </si>
  <si>
    <t>ceramic capacitor, pitch: 2.5mm</t>
  </si>
  <si>
    <t>Vertical SNES Gamepad Connector from Ali Express</t>
  </si>
  <si>
    <r>
      <t xml:space="preserve">aluminum electrolytic,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>5.0mm/pitch 2.0mm 105°C, l=11mm, e.G. Reichelt RD1C106M05011180 . Lay flat on board.</t>
    </r>
  </si>
  <si>
    <t>each</t>
  </si>
  <si>
    <t>total</t>
  </si>
  <si>
    <t>BOM Value of 21.07.2026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</si>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</sst>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u/>
      <sz val="11"/>
      <color theme="10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1" fillId="0" borderId="0" xfId="0" applyFont="1" applyAlignment="1">
      <alignment vertical="top" wrapText="1"/>
    </xf>
    <xf numFmtId="49" fontId="2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3" fillId="0" borderId="0" xfId="42" applyAlignment="1">
      <alignment vertical="top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164" fontId="3" fillId="0" borderId="0" xfId="0" applyNumberFormat="1" applyFont="1" applyAlignment="1">
      <alignment horizontal="left" vertical="top" wrapText="1"/>
    </xf>
    <xf numFmtId="164" fontId="2" fillId="0" borderId="0" xfId="0" applyNumberFormat="1" applyFont="1" applyAlignment="1">
      <alignment vertical="top" wrapText="1"/>
    </xf>
    <xf numFmtId="164" fontId="3" fillId="0" borderId="0" xfId="0" applyNumberFormat="1" applyFont="1" applyAlignment="1">
      <alignment vertical="top" wrapText="1"/>
    </xf>
    <xf numFmtId="0" fontId="25" fillId="0" borderId="0" xfId="0" applyFont="1" applyAlignment="1">
      <alignment vertical="top" wrapText="1"/>
    </xf>
    <xf numFmtId="164" fontId="25" fillId="0" borderId="0" xfId="0" applyNumberFormat="1" applyFont="1" applyAlignment="1">
      <alignment horizontal="left" vertical="top" wrapText="1"/>
    </xf>
    <xf numFmtId="164" fontId="25" fillId="0" borderId="0" xfId="0" applyNumberFormat="1" applyFont="1" applyAlignment="1">
      <alignment vertical="top"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numFmt numFmtId="164" formatCode="#,##0.00\ &quot;€&quot;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numFmt numFmtId="164" formatCode="#,##0.00\ &quot;€&quot;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F17" totalsRowShown="0" headerRowDxfId="7" dataDxfId="6">
  <autoFilter ref="A3:F17" xr:uid="{00000000-0009-0000-0100-000001000000}"/>
  <sortState xmlns:xlrd2="http://schemas.microsoft.com/office/spreadsheetml/2017/richdata2" ref="A4:F22">
    <sortCondition ref="E3:E22"/>
  </sortState>
  <tableColumns count="6">
    <tableColumn id="1" xr3:uid="{00000000-0010-0000-0000-000001000000}" name="Pos." dataDxfId="5">
      <calculatedColumnFormula>A3+1</calculatedColumnFormula>
    </tableColumn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each" dataDxfId="1"/>
    <tableColumn id="5" xr3:uid="{00000000-0010-0000-0000-000005000000}" name="total" dataDxfId="0">
      <calculatedColumnFormula>Tabelle1[[#This Row],[Qty]]*Tabelle1[[#This Row],[each]]</calculatedColumnFormula>
    </tableColumn>
    <tableColumn id="6" xr3:uid="{00000000-0010-0000-0000-000006000000}" name="Com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.aliexpress.com/item/100500934831660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view="pageLayout" zoomScaleNormal="100" workbookViewId="0">
      <selection activeCell="C18" sqref="C18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50.21875" customWidth="1"/>
  </cols>
  <sheetData>
    <row r="1" spans="1:6" ht="20.399999999999999" x14ac:dyDescent="0.35">
      <c r="A1" s="12" t="s">
        <v>4</v>
      </c>
      <c r="B1" s="12"/>
      <c r="C1" s="12"/>
      <c r="D1" s="12"/>
      <c r="E1" s="12"/>
      <c r="F1" s="12"/>
    </row>
    <row r="2" spans="1:6" ht="20.399999999999999" x14ac:dyDescent="0.35">
      <c r="A2" s="13" t="s">
        <v>31</v>
      </c>
      <c r="B2" s="13"/>
      <c r="C2" s="13"/>
      <c r="D2" s="13"/>
      <c r="E2" s="13"/>
      <c r="F2" s="13"/>
    </row>
    <row r="3" spans="1:6" s="6" customFormat="1" x14ac:dyDescent="0.3">
      <c r="A3" s="3" t="s">
        <v>0</v>
      </c>
      <c r="B3" s="8" t="s">
        <v>1</v>
      </c>
      <c r="C3" s="9" t="s">
        <v>2</v>
      </c>
      <c r="D3" s="14" t="s">
        <v>29</v>
      </c>
      <c r="E3" s="15" t="s">
        <v>30</v>
      </c>
      <c r="F3" s="9" t="s">
        <v>3</v>
      </c>
    </row>
    <row r="4" spans="1:6" s="6" customFormat="1" x14ac:dyDescent="0.3">
      <c r="A4" s="3">
        <v>1</v>
      </c>
      <c r="B4" s="3">
        <v>1</v>
      </c>
      <c r="C4" s="10" t="s">
        <v>5</v>
      </c>
      <c r="D4" s="16">
        <v>2</v>
      </c>
      <c r="E4" s="17">
        <f>Tabelle1[[#This Row],[Qty]]*Tabelle1[[#This Row],[each]]</f>
        <v>2</v>
      </c>
      <c r="F4" s="10" t="s">
        <v>6</v>
      </c>
    </row>
    <row r="5" spans="1:6" s="6" customFormat="1" x14ac:dyDescent="0.3">
      <c r="A5" s="3">
        <f>A4+1</f>
        <v>2</v>
      </c>
      <c r="B5" s="3">
        <v>1</v>
      </c>
      <c r="C5" s="10" t="s">
        <v>7</v>
      </c>
      <c r="D5" s="16">
        <v>0.05</v>
      </c>
      <c r="E5" s="18">
        <f>Tabelle1[[#This Row],[Qty]]*Tabelle1[[#This Row],[each]]</f>
        <v>0.05</v>
      </c>
      <c r="F5" s="10" t="s">
        <v>26</v>
      </c>
    </row>
    <row r="6" spans="1:6" s="6" customFormat="1" x14ac:dyDescent="0.3">
      <c r="A6" s="3">
        <f t="shared" ref="A6:A16" si="0">A5+1</f>
        <v>3</v>
      </c>
      <c r="B6" s="3">
        <v>3</v>
      </c>
      <c r="C6" s="10" t="s">
        <v>11</v>
      </c>
      <c r="D6" s="16">
        <v>0.05</v>
      </c>
      <c r="E6" s="18">
        <f>Tabelle1[[#This Row],[Qty]]*Tabelle1[[#This Row],[each]]</f>
        <v>0.15000000000000002</v>
      </c>
      <c r="F6" s="10" t="s">
        <v>26</v>
      </c>
    </row>
    <row r="7" spans="1:6" s="6" customFormat="1" ht="41.4" x14ac:dyDescent="0.3">
      <c r="A7" s="3">
        <f t="shared" si="0"/>
        <v>4</v>
      </c>
      <c r="B7" s="3">
        <v>1</v>
      </c>
      <c r="C7" s="10" t="s">
        <v>9</v>
      </c>
      <c r="D7" s="16">
        <v>0.05</v>
      </c>
      <c r="E7" s="18">
        <f>Tabelle1[[#This Row],[Qty]]*Tabelle1[[#This Row],[each]]</f>
        <v>0.05</v>
      </c>
      <c r="F7" s="15" t="s">
        <v>28</v>
      </c>
    </row>
    <row r="8" spans="1:6" s="6" customFormat="1" ht="27.6" x14ac:dyDescent="0.3">
      <c r="A8" s="3">
        <f t="shared" si="0"/>
        <v>5</v>
      </c>
      <c r="B8" s="3">
        <v>1</v>
      </c>
      <c r="C8" s="10" t="s">
        <v>19</v>
      </c>
      <c r="D8" s="16">
        <v>6</v>
      </c>
      <c r="E8" s="18">
        <f>Tabelle1[[#This Row],[Qty]]*Tabelle1[[#This Row],[each]]</f>
        <v>6</v>
      </c>
      <c r="F8" s="10" t="s">
        <v>20</v>
      </c>
    </row>
    <row r="9" spans="1:6" s="6" customFormat="1" ht="27.6" x14ac:dyDescent="0.3">
      <c r="A9" s="3">
        <f t="shared" si="0"/>
        <v>6</v>
      </c>
      <c r="B9" s="3">
        <v>1</v>
      </c>
      <c r="C9" s="15" t="s">
        <v>13</v>
      </c>
      <c r="D9" s="16">
        <v>1.7</v>
      </c>
      <c r="E9" s="18">
        <f>Tabelle1[[#This Row],[Qty]]*Tabelle1[[#This Row],[each]]</f>
        <v>1.7</v>
      </c>
      <c r="F9" s="10" t="s">
        <v>21</v>
      </c>
    </row>
    <row r="10" spans="1:6" s="6" customFormat="1" x14ac:dyDescent="0.3">
      <c r="A10" s="3">
        <f t="shared" si="0"/>
        <v>7</v>
      </c>
      <c r="B10" s="3">
        <v>1</v>
      </c>
      <c r="C10" s="10" t="s">
        <v>17</v>
      </c>
      <c r="D10" s="16">
        <v>0.18</v>
      </c>
      <c r="E10" s="18">
        <f>Tabelle1[[#This Row],[Qty]]*Tabelle1[[#This Row],[each]]</f>
        <v>0.18</v>
      </c>
      <c r="F10" s="10" t="s">
        <v>18</v>
      </c>
    </row>
    <row r="11" spans="1:6" s="6" customFormat="1" ht="27.6" x14ac:dyDescent="0.3">
      <c r="A11" s="3">
        <f t="shared" si="0"/>
        <v>8</v>
      </c>
      <c r="B11" s="3">
        <v>1</v>
      </c>
      <c r="C11" s="10" t="s">
        <v>14</v>
      </c>
      <c r="D11" s="16">
        <v>1.0900000000000001</v>
      </c>
      <c r="E11" s="18">
        <f>Tabelle1[[#This Row],[Qty]]*Tabelle1[[#This Row],[each]]</f>
        <v>1.0900000000000001</v>
      </c>
      <c r="F11" s="15" t="s">
        <v>22</v>
      </c>
    </row>
    <row r="12" spans="1:6" s="6" customFormat="1" ht="27.6" x14ac:dyDescent="0.3">
      <c r="A12" s="3">
        <f t="shared" si="0"/>
        <v>9</v>
      </c>
      <c r="B12" s="3">
        <v>1</v>
      </c>
      <c r="C12" s="10" t="s">
        <v>15</v>
      </c>
      <c r="D12" s="16">
        <v>1.1399999999999999</v>
      </c>
      <c r="E12" s="18">
        <f>Tabelle1[[#This Row],[Qty]]*Tabelle1[[#This Row],[each]]</f>
        <v>1.1399999999999999</v>
      </c>
      <c r="F12" s="10" t="s">
        <v>23</v>
      </c>
    </row>
    <row r="13" spans="1:6" s="6" customFormat="1" ht="27.6" x14ac:dyDescent="0.3">
      <c r="A13" s="3">
        <f t="shared" si="0"/>
        <v>10</v>
      </c>
      <c r="B13" s="3">
        <v>1</v>
      </c>
      <c r="C13" s="10" t="s">
        <v>16</v>
      </c>
      <c r="D13" s="16">
        <v>2.29</v>
      </c>
      <c r="E13" s="18">
        <f>Tabelle1[[#This Row],[Qty]]*Tabelle1[[#This Row],[each]]</f>
        <v>2.29</v>
      </c>
      <c r="F13" s="11" t="s">
        <v>27</v>
      </c>
    </row>
    <row r="14" spans="1:6" s="6" customFormat="1" x14ac:dyDescent="0.3">
      <c r="A14" s="3">
        <f t="shared" si="0"/>
        <v>11</v>
      </c>
      <c r="B14" s="3">
        <v>1</v>
      </c>
      <c r="C14" s="10" t="s">
        <v>10</v>
      </c>
      <c r="D14" s="16">
        <v>0.05</v>
      </c>
      <c r="E14" s="18">
        <f>Tabelle1[[#This Row],[Qty]]*Tabelle1[[#This Row],[each]]</f>
        <v>0.05</v>
      </c>
      <c r="F14" s="10" t="s">
        <v>24</v>
      </c>
    </row>
    <row r="15" spans="1:6" s="6" customFormat="1" x14ac:dyDescent="0.3">
      <c r="A15" s="3">
        <f t="shared" si="0"/>
        <v>12</v>
      </c>
      <c r="B15" s="3">
        <v>1</v>
      </c>
      <c r="C15" s="10" t="s">
        <v>8</v>
      </c>
      <c r="D15" s="16">
        <v>0.05</v>
      </c>
      <c r="E15" s="18">
        <f>Tabelle1[[#This Row],[Qty]]*Tabelle1[[#This Row],[each]]</f>
        <v>0.05</v>
      </c>
      <c r="F15" s="10" t="s">
        <v>24</v>
      </c>
    </row>
    <row r="16" spans="1:6" s="6" customFormat="1" x14ac:dyDescent="0.3">
      <c r="A16" s="3">
        <f t="shared" si="0"/>
        <v>13</v>
      </c>
      <c r="B16" s="3">
        <v>1</v>
      </c>
      <c r="C16" s="10" t="s">
        <v>12</v>
      </c>
      <c r="D16" s="16">
        <v>0.1</v>
      </c>
      <c r="E16" s="18">
        <f>Tabelle1[[#This Row],[Qty]]*Tabelle1[[#This Row],[each]]</f>
        <v>0.1</v>
      </c>
      <c r="F16" s="10" t="s">
        <v>25</v>
      </c>
    </row>
    <row r="17" spans="1:6" s="6" customFormat="1" x14ac:dyDescent="0.3">
      <c r="A17" s="15"/>
      <c r="B17" s="15"/>
      <c r="C17" s="19" t="s">
        <v>32</v>
      </c>
      <c r="D17" s="20"/>
      <c r="E17" s="21">
        <f>SUM(E4:E16)</f>
        <v>14.85</v>
      </c>
      <c r="F17" s="15"/>
    </row>
    <row r="18" spans="1:6" s="6" customFormat="1" x14ac:dyDescent="0.3">
      <c r="A18" s="3"/>
      <c r="B18" s="3"/>
      <c r="C18" s="3"/>
      <c r="D18" s="4"/>
      <c r="E18" s="3"/>
      <c r="F18" s="3"/>
    </row>
    <row r="19" spans="1:6" s="6" customFormat="1" x14ac:dyDescent="0.3">
      <c r="A19" s="3"/>
      <c r="B19" s="3"/>
      <c r="C19" s="3"/>
      <c r="D19" s="4"/>
      <c r="E19" s="3"/>
      <c r="F19" s="3"/>
    </row>
    <row r="20" spans="1:6" s="6" customFormat="1" x14ac:dyDescent="0.3">
      <c r="A20" s="3"/>
      <c r="B20" s="3"/>
      <c r="C20" s="3"/>
      <c r="D20" s="4"/>
      <c r="E20" s="3"/>
      <c r="F20" s="3"/>
    </row>
    <row r="21" spans="1:6" s="6" customFormat="1" x14ac:dyDescent="0.3">
      <c r="A21" s="3"/>
      <c r="B21" s="3"/>
      <c r="C21" s="3"/>
      <c r="D21" s="4"/>
      <c r="E21" s="3"/>
      <c r="F21" s="3"/>
    </row>
    <row r="22" spans="1:6" s="6" customFormat="1" x14ac:dyDescent="0.3">
      <c r="A22" s="3"/>
      <c r="B22" s="3"/>
      <c r="C22" s="3"/>
      <c r="D22" s="4"/>
      <c r="E22" s="3"/>
      <c r="F22" s="3"/>
    </row>
    <row r="23" spans="1:6" s="6" customFormat="1" x14ac:dyDescent="0.3">
      <c r="A23" s="3"/>
      <c r="B23" s="3"/>
      <c r="C23" s="3"/>
      <c r="D23" s="4"/>
      <c r="E23" s="3"/>
      <c r="F23" s="3"/>
    </row>
    <row r="24" spans="1:6" s="6" customFormat="1" x14ac:dyDescent="0.3">
      <c r="A24" s="3"/>
      <c r="B24" s="3"/>
      <c r="C24" s="3"/>
      <c r="D24" s="4"/>
      <c r="E24" s="3"/>
      <c r="F24" s="3"/>
    </row>
    <row r="25" spans="1:6" s="6" customFormat="1" x14ac:dyDescent="0.3">
      <c r="A25" s="3"/>
      <c r="B25" s="3"/>
      <c r="C25" s="3"/>
      <c r="D25" s="4"/>
      <c r="E25" s="3"/>
      <c r="F25" s="3"/>
    </row>
    <row r="26" spans="1:6" s="6" customFormat="1" x14ac:dyDescent="0.3">
      <c r="A26" s="3"/>
      <c r="B26" s="3"/>
      <c r="C26" s="3"/>
      <c r="D26" s="4"/>
      <c r="E26" s="3"/>
      <c r="F26" s="3"/>
    </row>
    <row r="27" spans="1:6" s="6" customFormat="1" x14ac:dyDescent="0.3">
      <c r="A27" s="3"/>
      <c r="B27" s="3"/>
      <c r="C27" s="3"/>
      <c r="D27" s="4"/>
      <c r="E27" s="3"/>
      <c r="F27" s="3"/>
    </row>
    <row r="28" spans="1:6" s="6" customFormat="1" x14ac:dyDescent="0.3">
      <c r="A28" s="3"/>
      <c r="B28" s="3"/>
      <c r="C28" s="3"/>
      <c r="D28" s="4"/>
      <c r="E28" s="3"/>
      <c r="F28" s="3"/>
    </row>
    <row r="29" spans="1:6" s="6" customFormat="1" x14ac:dyDescent="0.3">
      <c r="A29" s="3"/>
      <c r="B29" s="3"/>
      <c r="C29" s="3"/>
      <c r="D29" s="4"/>
      <c r="E29" s="3"/>
      <c r="F29" s="3"/>
    </row>
    <row r="30" spans="1:6" s="6" customFormat="1" x14ac:dyDescent="0.3">
      <c r="A30" s="3"/>
      <c r="B30" s="3"/>
      <c r="C30" s="3"/>
      <c r="D30" s="4"/>
      <c r="E30" s="3"/>
      <c r="F30" s="3"/>
    </row>
    <row r="31" spans="1:6" s="6" customFormat="1" x14ac:dyDescent="0.3">
      <c r="A31" s="3"/>
      <c r="B31" s="3"/>
      <c r="C31" s="3"/>
      <c r="D31" s="4"/>
      <c r="E31" s="3"/>
      <c r="F31" s="3"/>
    </row>
    <row r="32" spans="1:6" s="6" customFormat="1" x14ac:dyDescent="0.3">
      <c r="A32" s="3"/>
      <c r="B32" s="3"/>
      <c r="C32" s="3"/>
      <c r="D32" s="4"/>
      <c r="E32" s="3"/>
      <c r="F32" s="3"/>
    </row>
    <row r="33" spans="4:4" s="6" customFormat="1" x14ac:dyDescent="0.3">
      <c r="D33" s="7"/>
    </row>
    <row r="34" spans="4:4" s="6" customFormat="1" x14ac:dyDescent="0.3">
      <c r="D34" s="7"/>
    </row>
    <row r="35" spans="4:4" s="6" customFormat="1" x14ac:dyDescent="0.3">
      <c r="D35" s="7"/>
    </row>
    <row r="36" spans="4:4" s="6" customFormat="1" x14ac:dyDescent="0.3">
      <c r="D36" s="7"/>
    </row>
    <row r="37" spans="4:4" s="6" customFormat="1" x14ac:dyDescent="0.3">
      <c r="D37" s="7"/>
    </row>
    <row r="38" spans="4:4" s="6" customFormat="1" x14ac:dyDescent="0.3">
      <c r="D38" s="7"/>
    </row>
    <row r="39" spans="4:4" s="6" customFormat="1" x14ac:dyDescent="0.3">
      <c r="D39" s="7"/>
    </row>
    <row r="40" spans="4:4" s="6" customFormat="1" x14ac:dyDescent="0.3">
      <c r="D40" s="7"/>
    </row>
    <row r="41" spans="4:4" s="6" customFormat="1" x14ac:dyDescent="0.3">
      <c r="D41" s="7"/>
    </row>
    <row r="42" spans="4:4" s="6" customFormat="1" x14ac:dyDescent="0.3">
      <c r="D42" s="7"/>
    </row>
    <row r="43" spans="4:4" s="6" customFormat="1" x14ac:dyDescent="0.3">
      <c r="D43" s="7"/>
    </row>
    <row r="44" spans="4:4" s="6" customFormat="1" x14ac:dyDescent="0.3">
      <c r="D44" s="7"/>
    </row>
    <row r="45" spans="4:4" s="6" customFormat="1" x14ac:dyDescent="0.3">
      <c r="D45" s="7"/>
    </row>
    <row r="46" spans="4:4" s="6" customFormat="1" x14ac:dyDescent="0.3">
      <c r="D46" s="7"/>
    </row>
    <row r="47" spans="4:4" s="6" customFormat="1" x14ac:dyDescent="0.3">
      <c r="D47" s="7"/>
    </row>
    <row r="48" spans="4:4" s="6" customFormat="1" x14ac:dyDescent="0.3">
      <c r="D48" s="7"/>
    </row>
    <row r="49" spans="4:4" s="6" customFormat="1" x14ac:dyDescent="0.3">
      <c r="D49" s="7"/>
    </row>
    <row r="50" spans="4:4" s="6" customFormat="1" x14ac:dyDescent="0.3">
      <c r="D50" s="7"/>
    </row>
    <row r="51" spans="4:4" s="6" customFormat="1" x14ac:dyDescent="0.3">
      <c r="D51" s="7"/>
    </row>
    <row r="52" spans="4:4" s="6" customFormat="1" x14ac:dyDescent="0.3">
      <c r="D52" s="7"/>
    </row>
    <row r="53" spans="4:4" s="6" customFormat="1" x14ac:dyDescent="0.3">
      <c r="D53" s="7"/>
    </row>
    <row r="54" spans="4:4" s="6" customFormat="1" x14ac:dyDescent="0.3">
      <c r="D54" s="7"/>
    </row>
    <row r="55" spans="4:4" s="6" customFormat="1" x14ac:dyDescent="0.3">
      <c r="D55" s="7"/>
    </row>
    <row r="56" spans="4:4" s="6" customFormat="1" x14ac:dyDescent="0.3">
      <c r="D56" s="7"/>
    </row>
    <row r="57" spans="4:4" s="6" customFormat="1" x14ac:dyDescent="0.3">
      <c r="D57" s="7"/>
    </row>
    <row r="58" spans="4:4" s="6" customFormat="1" x14ac:dyDescent="0.3">
      <c r="D58" s="7"/>
    </row>
    <row r="59" spans="4:4" s="6" customFormat="1" x14ac:dyDescent="0.3">
      <c r="D59" s="7"/>
    </row>
    <row r="60" spans="4:4" s="6" customFormat="1" x14ac:dyDescent="0.3">
      <c r="D60" s="7"/>
    </row>
    <row r="61" spans="4:4" s="6" customFormat="1" x14ac:dyDescent="0.3">
      <c r="D61" s="7"/>
    </row>
    <row r="62" spans="4:4" s="6" customFormat="1" x14ac:dyDescent="0.3">
      <c r="D62" s="7"/>
    </row>
    <row r="63" spans="4:4" s="6" customFormat="1" x14ac:dyDescent="0.3">
      <c r="D63" s="7"/>
    </row>
    <row r="64" spans="4:4" s="6" customFormat="1" x14ac:dyDescent="0.3">
      <c r="D64" s="7"/>
    </row>
    <row r="65" spans="4:4" s="6" customFormat="1" x14ac:dyDescent="0.3">
      <c r="D65" s="7"/>
    </row>
    <row r="66" spans="4:4" s="6" customFormat="1" x14ac:dyDescent="0.3">
      <c r="D66" s="7"/>
    </row>
    <row r="67" spans="4:4" s="6" customFormat="1" x14ac:dyDescent="0.3">
      <c r="D67" s="7"/>
    </row>
    <row r="68" spans="4:4" s="6" customFormat="1" x14ac:dyDescent="0.3">
      <c r="D68" s="7"/>
    </row>
    <row r="69" spans="4:4" s="6" customFormat="1" x14ac:dyDescent="0.3">
      <c r="D69" s="7"/>
    </row>
    <row r="70" spans="4:4" s="6" customFormat="1" x14ac:dyDescent="0.3">
      <c r="D70" s="7"/>
    </row>
    <row r="71" spans="4:4" s="6" customFormat="1" x14ac:dyDescent="0.3">
      <c r="D71" s="7"/>
    </row>
    <row r="72" spans="4:4" s="6" customFormat="1" x14ac:dyDescent="0.3">
      <c r="D72" s="7"/>
    </row>
    <row r="73" spans="4:4" s="6" customFormat="1" x14ac:dyDescent="0.3">
      <c r="D73" s="7"/>
    </row>
    <row r="74" spans="4:4" s="6" customFormat="1" x14ac:dyDescent="0.3">
      <c r="D74" s="7"/>
    </row>
    <row r="75" spans="4:4" s="6" customFormat="1" x14ac:dyDescent="0.3">
      <c r="D75" s="7"/>
    </row>
    <row r="76" spans="4:4" s="6" customFormat="1" x14ac:dyDescent="0.3">
      <c r="D76" s="7"/>
    </row>
    <row r="77" spans="4:4" s="6" customFormat="1" x14ac:dyDescent="0.3">
      <c r="D77" s="7"/>
    </row>
    <row r="78" spans="4:4" s="6" customFormat="1" x14ac:dyDescent="0.3">
      <c r="D78" s="7"/>
    </row>
    <row r="79" spans="4:4" s="6" customFormat="1" x14ac:dyDescent="0.3">
      <c r="D79" s="7"/>
    </row>
    <row r="80" spans="4:4" s="6" customFormat="1" x14ac:dyDescent="0.3">
      <c r="D80" s="7"/>
    </row>
    <row r="81" spans="4:4" s="6" customFormat="1" x14ac:dyDescent="0.3">
      <c r="D81" s="7"/>
    </row>
    <row r="82" spans="4:4" s="6" customFormat="1" x14ac:dyDescent="0.3">
      <c r="D82" s="7"/>
    </row>
    <row r="83" spans="4:4" s="6" customFormat="1" x14ac:dyDescent="0.3">
      <c r="D83" s="7"/>
    </row>
    <row r="84" spans="4:4" s="6" customFormat="1" x14ac:dyDescent="0.3">
      <c r="D84" s="7"/>
    </row>
    <row r="85" spans="4:4" s="6" customFormat="1" x14ac:dyDescent="0.3">
      <c r="D85" s="7"/>
    </row>
    <row r="86" spans="4:4" s="6" customFormat="1" x14ac:dyDescent="0.3">
      <c r="D86" s="7"/>
    </row>
    <row r="87" spans="4:4" s="6" customFormat="1" x14ac:dyDescent="0.3">
      <c r="D87" s="7"/>
    </row>
    <row r="88" spans="4:4" s="6" customFormat="1" x14ac:dyDescent="0.3">
      <c r="D88" s="7"/>
    </row>
    <row r="89" spans="4:4" s="6" customFormat="1" x14ac:dyDescent="0.3">
      <c r="D89" s="7"/>
    </row>
    <row r="90" spans="4:4" s="6" customFormat="1" x14ac:dyDescent="0.3">
      <c r="D90" s="7"/>
    </row>
    <row r="91" spans="4:4" s="6" customFormat="1" x14ac:dyDescent="0.3">
      <c r="D91" s="7"/>
    </row>
    <row r="92" spans="4:4" s="6" customFormat="1" x14ac:dyDescent="0.3">
      <c r="D92" s="7"/>
    </row>
    <row r="93" spans="4:4" s="6" customFormat="1" x14ac:dyDescent="0.3">
      <c r="D93" s="7"/>
    </row>
    <row r="94" spans="4:4" s="6" customFormat="1" x14ac:dyDescent="0.3">
      <c r="D94" s="7"/>
    </row>
    <row r="95" spans="4:4" s="6" customFormat="1" x14ac:dyDescent="0.3">
      <c r="D95" s="7"/>
    </row>
    <row r="96" spans="4:4" s="6" customFormat="1" x14ac:dyDescent="0.3">
      <c r="D96" s="7"/>
    </row>
    <row r="97" spans="4:4" s="6" customFormat="1" x14ac:dyDescent="0.3">
      <c r="D97" s="7"/>
    </row>
    <row r="98" spans="4:4" s="6" customFormat="1" x14ac:dyDescent="0.3">
      <c r="D98" s="7"/>
    </row>
    <row r="99" spans="4:4" s="6" customFormat="1" x14ac:dyDescent="0.3">
      <c r="D99" s="7"/>
    </row>
    <row r="100" spans="4:4" s="6" customFormat="1" x14ac:dyDescent="0.3">
      <c r="D100" s="7"/>
    </row>
    <row r="101" spans="4:4" s="6" customFormat="1" x14ac:dyDescent="0.3">
      <c r="D101" s="7"/>
    </row>
    <row r="102" spans="4:4" s="6" customFormat="1" x14ac:dyDescent="0.3">
      <c r="D102" s="7"/>
    </row>
    <row r="103" spans="4:4" s="6" customFormat="1" x14ac:dyDescent="0.3">
      <c r="D103" s="7"/>
    </row>
    <row r="104" spans="4:4" s="6" customFormat="1" x14ac:dyDescent="0.3">
      <c r="D104" s="7"/>
    </row>
    <row r="105" spans="4:4" s="6" customFormat="1" x14ac:dyDescent="0.3">
      <c r="D105" s="7"/>
    </row>
    <row r="106" spans="4:4" s="6" customFormat="1" x14ac:dyDescent="0.3">
      <c r="D106" s="7"/>
    </row>
    <row r="107" spans="4:4" s="6" customFormat="1" x14ac:dyDescent="0.3">
      <c r="D107" s="7"/>
    </row>
    <row r="108" spans="4:4" s="6" customFormat="1" x14ac:dyDescent="0.3">
      <c r="D108" s="7"/>
    </row>
    <row r="109" spans="4:4" s="6" customFormat="1" x14ac:dyDescent="0.3">
      <c r="D109" s="7"/>
    </row>
    <row r="110" spans="4:4" s="6" customFormat="1" x14ac:dyDescent="0.3">
      <c r="D110" s="7"/>
    </row>
    <row r="111" spans="4:4" s="6" customFormat="1" x14ac:dyDescent="0.3">
      <c r="D111" s="7"/>
    </row>
    <row r="112" spans="4:4" s="6" customFormat="1" x14ac:dyDescent="0.3">
      <c r="D112" s="7"/>
    </row>
    <row r="113" spans="3:6" s="6" customFormat="1" x14ac:dyDescent="0.3">
      <c r="D113" s="7"/>
    </row>
    <row r="114" spans="3:6" s="6" customFormat="1" x14ac:dyDescent="0.3">
      <c r="D114" s="7"/>
    </row>
    <row r="115" spans="3:6" s="6" customFormat="1" x14ac:dyDescent="0.3">
      <c r="D115" s="7"/>
    </row>
    <row r="116" spans="3:6" s="6" customFormat="1" x14ac:dyDescent="0.3">
      <c r="D116" s="7"/>
    </row>
    <row r="117" spans="3:6" s="6" customFormat="1" x14ac:dyDescent="0.3">
      <c r="D117" s="7"/>
    </row>
    <row r="118" spans="3:6" s="6" customFormat="1" x14ac:dyDescent="0.3">
      <c r="D118" s="7"/>
    </row>
    <row r="119" spans="3:6" s="6" customFormat="1" x14ac:dyDescent="0.3">
      <c r="D119" s="7"/>
    </row>
    <row r="120" spans="3:6" s="6" customFormat="1" x14ac:dyDescent="0.3">
      <c r="D120" s="7"/>
    </row>
    <row r="121" spans="3:6" s="6" customFormat="1" x14ac:dyDescent="0.3">
      <c r="D121" s="7"/>
    </row>
    <row r="122" spans="3:6" s="6" customFormat="1" x14ac:dyDescent="0.3">
      <c r="D122" s="7"/>
    </row>
    <row r="123" spans="3:6" x14ac:dyDescent="0.3">
      <c r="C123" s="2"/>
      <c r="D123" s="5"/>
      <c r="F123" s="2"/>
    </row>
    <row r="124" spans="3:6" x14ac:dyDescent="0.3">
      <c r="C124" s="2"/>
      <c r="D124" s="5"/>
      <c r="F124" s="2"/>
    </row>
    <row r="125" spans="3:6" x14ac:dyDescent="0.3">
      <c r="C125" s="2"/>
      <c r="D125" s="5"/>
      <c r="F125" s="2"/>
    </row>
    <row r="126" spans="3:6" x14ac:dyDescent="0.3">
      <c r="C126" s="2"/>
      <c r="D126" s="5"/>
      <c r="F126" s="2"/>
    </row>
    <row r="127" spans="3:6" x14ac:dyDescent="0.3">
      <c r="C127" s="2"/>
      <c r="D127" s="5"/>
      <c r="F127" s="2"/>
    </row>
    <row r="128" spans="3:6" x14ac:dyDescent="0.3">
      <c r="C128" s="2"/>
      <c r="D128" s="5"/>
      <c r="F128" s="2"/>
    </row>
    <row r="129" spans="3:6" x14ac:dyDescent="0.3">
      <c r="C129" s="2"/>
      <c r="D129" s="5"/>
      <c r="F129" s="2"/>
    </row>
    <row r="130" spans="3:6" x14ac:dyDescent="0.3">
      <c r="C130" s="2"/>
      <c r="D130" s="5"/>
      <c r="F130" s="2"/>
    </row>
    <row r="131" spans="3:6" x14ac:dyDescent="0.3">
      <c r="C131" s="2"/>
      <c r="D131" s="5"/>
      <c r="F131" s="2"/>
    </row>
    <row r="132" spans="3:6" x14ac:dyDescent="0.3">
      <c r="C132" s="2"/>
      <c r="D132" s="5"/>
      <c r="F132" s="2"/>
    </row>
    <row r="133" spans="3:6" x14ac:dyDescent="0.3">
      <c r="C133" s="2"/>
      <c r="D133" s="5"/>
      <c r="F133" s="2"/>
    </row>
    <row r="134" spans="3:6" x14ac:dyDescent="0.3">
      <c r="C134" s="2"/>
      <c r="D134" s="5"/>
      <c r="F134" s="2"/>
    </row>
    <row r="135" spans="3:6" x14ac:dyDescent="0.3">
      <c r="C135" s="2"/>
      <c r="D135" s="5"/>
      <c r="F135" s="2"/>
    </row>
    <row r="136" spans="3:6" x14ac:dyDescent="0.3">
      <c r="C136" s="2"/>
      <c r="D136" s="5"/>
      <c r="F136" s="2"/>
    </row>
    <row r="137" spans="3:6" x14ac:dyDescent="0.3">
      <c r="C137" s="2"/>
      <c r="D137" s="5"/>
      <c r="F137" s="2"/>
    </row>
    <row r="138" spans="3:6" x14ac:dyDescent="0.3">
      <c r="C138" s="2"/>
      <c r="D138" s="5"/>
      <c r="F138" s="2"/>
    </row>
    <row r="139" spans="3:6" x14ac:dyDescent="0.3">
      <c r="C139" s="2"/>
      <c r="D139" s="5"/>
      <c r="F139" s="2"/>
    </row>
    <row r="140" spans="3:6" x14ac:dyDescent="0.3">
      <c r="C140" s="2"/>
      <c r="D140" s="5"/>
      <c r="F140" s="2"/>
    </row>
    <row r="141" spans="3:6" x14ac:dyDescent="0.3">
      <c r="C141" s="2"/>
      <c r="D141" s="5"/>
      <c r="F141" s="2"/>
    </row>
    <row r="142" spans="3:6" x14ac:dyDescent="0.3">
      <c r="C142" s="2"/>
      <c r="D142" s="5"/>
      <c r="F142" s="2"/>
    </row>
    <row r="143" spans="3:6" x14ac:dyDescent="0.3">
      <c r="C143" s="2"/>
      <c r="D143" s="5"/>
      <c r="F143" s="2"/>
    </row>
    <row r="144" spans="3:6" x14ac:dyDescent="0.3">
      <c r="C144" s="2"/>
      <c r="D144" s="5"/>
      <c r="F144" s="2"/>
    </row>
    <row r="145" spans="3:6" x14ac:dyDescent="0.3">
      <c r="C145" s="2"/>
      <c r="D145" s="5"/>
      <c r="F145" s="2"/>
    </row>
    <row r="146" spans="3:6" x14ac:dyDescent="0.3">
      <c r="C146" s="2"/>
      <c r="D146" s="5"/>
      <c r="F146" s="2"/>
    </row>
  </sheetData>
  <mergeCells count="2">
    <mergeCell ref="A1:F1"/>
    <mergeCell ref="A2:F2"/>
  </mergeCells>
  <hyperlinks>
    <hyperlink ref="F13" r:id="rId1" xr:uid="{54E2192B-E056-4069-BC46-133E643D7365}"/>
  </hyperlinks>
  <pageMargins left="0.70866141732283472" right="0.79166666666666663" top="0.78740157480314965" bottom="0.78740157480314965" header="0.31496062992125984" footer="0.31496062992125984"/>
  <pageSetup paperSize="9" orientation="landscape" r:id="rId2"/>
  <headerFooter>
    <oddFooter>&amp;L&amp;"Futura Lt BT,Light"&amp;F
Drafted by Sven Petersen&amp;C&amp;"Futura Lt BT,Light"Page &amp;P of &amp;N&amp;R&amp;"Futura Lt BT,Light"&amp;D &amp;T
Doc.No.: 221-5-01-00.0</oddFooter>
  </headerFooter>
  <ignoredErrors>
    <ignoredError sqref="A4" calculatedColumn="1"/>
  </ignoredErrors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2026-07-21T14:35:34Z</dcterms:modified>
</cp:coreProperties>
</file>