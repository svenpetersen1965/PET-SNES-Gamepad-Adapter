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PET_CBM_Projects\PET_SNES_Gamepad_Adapter\Rev. 1\Excel\"/>
    </mc:Choice>
  </mc:AlternateContent>
  <xr:revisionPtr revIDLastSave="0" documentId="13_ncr:1_{1E98972D-639E-4E31-9B00-D021669BAB19}" xr6:coauthVersionLast="47" xr6:coauthVersionMax="47" xr10:uidLastSave="{00000000-0000-0000-0000-000000000000}"/>
  <bookViews>
    <workbookView xWindow="768" yWindow="768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Stückliste!$A$1:$F$16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E18" i="1" l="1"/>
  <c r="A18" i="1"/>
  <c r="A17" i="1"/>
  <c r="E1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5" i="1"/>
</calcChain>
</file>

<file path=xl/sharedStrings.xml><?xml version="1.0" encoding="utf-8"?>
<sst xmlns="http://schemas.openxmlformats.org/spreadsheetml/2006/main" count="36" uniqueCount="34">
  <si>
    <t>Pos.</t>
  </si>
  <si>
    <t>Qty</t>
  </si>
  <si>
    <t>Value</t>
  </si>
  <si>
    <t>Comment</t>
  </si>
  <si>
    <t>221-2-01-00</t>
  </si>
  <si>
    <t>2 layer, Cu 35µ, HASL, 71.0mm x 43.0mm, 1.6mm FR4</t>
  </si>
  <si>
    <t>100n</t>
  </si>
  <si>
    <t>10k</t>
  </si>
  <si>
    <t>10u/16V</t>
  </si>
  <si>
    <t>27k</t>
  </si>
  <si>
    <t>330p</t>
  </si>
  <si>
    <t>5x4k7</t>
  </si>
  <si>
    <t>FCR681465P</t>
  </si>
  <si>
    <t>RCJ-022</t>
  </si>
  <si>
    <t>RCJ-023</t>
  </si>
  <si>
    <t>SNES-GAMEPAD-CONN-vert</t>
  </si>
  <si>
    <t>2x3 box header, 2.54mm</t>
  </si>
  <si>
    <t>e.g. Reichelt WSL 6G.</t>
  </si>
  <si>
    <t>Edge connector, 2x12, 3.96mm</t>
  </si>
  <si>
    <t>edge connector, C64 user port, Ali Express, "series 805" or other</t>
  </si>
  <si>
    <t xml:space="preserve">Cliff. 2,5mm/5.5mm barrel connector. E.g. Reichelt CLIFF FCR681465P </t>
  </si>
  <si>
    <t>CUI Inc., RCA jack, vertical, red. Mouser: 490-RCJ-022, Digikey:  CP-1407-ND. Alternative part: Keystone 577</t>
  </si>
  <si>
    <t>CUI Inc., RCA jack, vertical, white. Mouser: 490-RCJ-023, Digikey:  CP-1408-ND. Alternative part: Keystone 584</t>
  </si>
  <si>
    <t>1/4W, 1% or better</t>
  </si>
  <si>
    <t>Resistor network 4 pin, 5 resistors</t>
  </si>
  <si>
    <t>ceramic capacitor, pitch: 2.5mm</t>
  </si>
  <si>
    <t>Vertical SNES Gamepad Connector from Ali Express</t>
  </si>
  <si>
    <r>
      <t xml:space="preserve">aluminum electrolytic,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5.0mm/pitch 2.0mm 105°C, l=11mm, e.G. Reichelt RD1C106M05011180 . Lay flat on board.</t>
    </r>
  </si>
  <si>
    <t>each</t>
  </si>
  <si>
    <t>total</t>
  </si>
  <si>
    <t>BOM Value of 21.07.2026</t>
  </si>
  <si>
    <t>Total</t>
  </si>
  <si>
    <t>mini slide switch, 2.54mm, DPDT, through hole</t>
  </si>
  <si>
    <t>PET SNES Gamepad Adapter Rev.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</si>
</sst>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u/>
      <sz val="11"/>
      <color theme="10"/>
      <name val="Calibri"/>
      <family val="2"/>
      <scheme val="minor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2" fillId="0" borderId="0" xfId="0" applyFont="1" applyAlignment="1">
      <alignment vertical="top" wrapText="1"/>
    </xf>
    <xf numFmtId="49" fontId="2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4" fillId="0" borderId="0" xfId="42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vertical="top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8" totalsRowShown="0" headerRowDxfId="7" dataDxfId="6">
  <autoFilter ref="A3:F18" xr:uid="{00000000-0009-0000-0100-000001000000}"/>
  <sortState xmlns:xlrd2="http://schemas.microsoft.com/office/spreadsheetml/2017/richdata2" ref="A4:F22">
    <sortCondition ref="E3:E22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each" dataDxfId="2"/>
    <tableColumn id="5" xr3:uid="{00000000-0010-0000-0000-000005000000}" name="total" dataDxfId="1">
      <calculatedColumnFormula>Tabelle1[[#This Row],[Qty]]*Tabelle1[[#This Row],[each]]</calculatedColumnFormula>
    </tableColumn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.aliexpress.com/item/10050093483166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view="pageLayout" zoomScaleNormal="100" workbookViewId="0">
      <selection activeCell="E4" sqref="E4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7" t="s">
        <v>33</v>
      </c>
      <c r="B1" s="17"/>
      <c r="C1" s="17"/>
      <c r="D1" s="17"/>
      <c r="E1" s="17"/>
      <c r="F1" s="17"/>
    </row>
    <row r="2" spans="1:6" ht="20.399999999999999" x14ac:dyDescent="0.35">
      <c r="A2" s="18" t="s">
        <v>30</v>
      </c>
      <c r="B2" s="18"/>
      <c r="C2" s="18"/>
      <c r="D2" s="18"/>
      <c r="E2" s="18"/>
      <c r="F2" s="18"/>
    </row>
    <row r="3" spans="1:6" s="6" customFormat="1" x14ac:dyDescent="0.3">
      <c r="A3" s="3" t="s">
        <v>0</v>
      </c>
      <c r="B3" s="8" t="s">
        <v>1</v>
      </c>
      <c r="C3" s="9" t="s">
        <v>2</v>
      </c>
      <c r="D3" s="12" t="s">
        <v>28</v>
      </c>
      <c r="E3" s="13" t="s">
        <v>29</v>
      </c>
      <c r="F3" s="9" t="s">
        <v>3</v>
      </c>
    </row>
    <row r="4" spans="1:6" s="6" customFormat="1" x14ac:dyDescent="0.3">
      <c r="A4" s="3">
        <v>1</v>
      </c>
      <c r="B4" s="3">
        <v>1</v>
      </c>
      <c r="C4" s="10" t="s">
        <v>4</v>
      </c>
      <c r="D4" s="14">
        <v>2</v>
      </c>
      <c r="E4" s="15">
        <f>Tabelle1[[#This Row],[Qty]]*Tabelle1[[#This Row],[each]]</f>
        <v>2</v>
      </c>
      <c r="F4" s="10" t="s">
        <v>5</v>
      </c>
    </row>
    <row r="5" spans="1:6" s="6" customFormat="1" x14ac:dyDescent="0.3">
      <c r="A5" s="3">
        <f>A4+1</f>
        <v>2</v>
      </c>
      <c r="B5" s="3">
        <v>1</v>
      </c>
      <c r="C5" s="10" t="s">
        <v>6</v>
      </c>
      <c r="D5" s="14">
        <v>0.05</v>
      </c>
      <c r="E5" s="16">
        <f>Tabelle1[[#This Row],[Qty]]*Tabelle1[[#This Row],[each]]</f>
        <v>0.05</v>
      </c>
      <c r="F5" s="10" t="s">
        <v>25</v>
      </c>
    </row>
    <row r="6" spans="1:6" s="6" customFormat="1" x14ac:dyDescent="0.3">
      <c r="A6" s="3">
        <f t="shared" ref="A6:A17" si="0">A5+1</f>
        <v>3</v>
      </c>
      <c r="B6" s="3">
        <v>3</v>
      </c>
      <c r="C6" s="10" t="s">
        <v>10</v>
      </c>
      <c r="D6" s="14">
        <v>0.05</v>
      </c>
      <c r="E6" s="16">
        <f>Tabelle1[[#This Row],[Qty]]*Tabelle1[[#This Row],[each]]</f>
        <v>0.15000000000000002</v>
      </c>
      <c r="F6" s="10" t="s">
        <v>25</v>
      </c>
    </row>
    <row r="7" spans="1:6" s="6" customFormat="1" ht="41.4" x14ac:dyDescent="0.3">
      <c r="A7" s="3">
        <f t="shared" si="0"/>
        <v>4</v>
      </c>
      <c r="B7" s="3">
        <v>1</v>
      </c>
      <c r="C7" s="10" t="s">
        <v>8</v>
      </c>
      <c r="D7" s="14">
        <v>0.05</v>
      </c>
      <c r="E7" s="16">
        <f>Tabelle1[[#This Row],[Qty]]*Tabelle1[[#This Row],[each]]</f>
        <v>0.05</v>
      </c>
      <c r="F7" s="13" t="s">
        <v>27</v>
      </c>
    </row>
    <row r="8" spans="1:6" s="6" customFormat="1" ht="27.6" x14ac:dyDescent="0.3">
      <c r="A8" s="3">
        <f t="shared" si="0"/>
        <v>5</v>
      </c>
      <c r="B8" s="3">
        <v>1</v>
      </c>
      <c r="C8" s="10" t="s">
        <v>18</v>
      </c>
      <c r="D8" s="14">
        <v>6</v>
      </c>
      <c r="E8" s="16">
        <f>Tabelle1[[#This Row],[Qty]]*Tabelle1[[#This Row],[each]]</f>
        <v>6</v>
      </c>
      <c r="F8" s="10" t="s">
        <v>19</v>
      </c>
    </row>
    <row r="9" spans="1:6" s="6" customFormat="1" ht="27.6" x14ac:dyDescent="0.3">
      <c r="A9" s="3">
        <f t="shared" si="0"/>
        <v>6</v>
      </c>
      <c r="B9" s="3">
        <v>1</v>
      </c>
      <c r="C9" s="13" t="s">
        <v>12</v>
      </c>
      <c r="D9" s="14">
        <v>1.7</v>
      </c>
      <c r="E9" s="16">
        <f>Tabelle1[[#This Row],[Qty]]*Tabelle1[[#This Row],[each]]</f>
        <v>1.7</v>
      </c>
      <c r="F9" s="10" t="s">
        <v>20</v>
      </c>
    </row>
    <row r="10" spans="1:6" s="6" customFormat="1" x14ac:dyDescent="0.3">
      <c r="A10" s="3">
        <f t="shared" si="0"/>
        <v>7</v>
      </c>
      <c r="B10" s="3">
        <v>1</v>
      </c>
      <c r="C10" s="10" t="s">
        <v>16</v>
      </c>
      <c r="D10" s="14">
        <v>0.18</v>
      </c>
      <c r="E10" s="16">
        <f>Tabelle1[[#This Row],[Qty]]*Tabelle1[[#This Row],[each]]</f>
        <v>0.18</v>
      </c>
      <c r="F10" s="10" t="s">
        <v>17</v>
      </c>
    </row>
    <row r="11" spans="1:6" s="6" customFormat="1" ht="27.6" x14ac:dyDescent="0.3">
      <c r="A11" s="3">
        <f t="shared" si="0"/>
        <v>8</v>
      </c>
      <c r="B11" s="3">
        <v>1</v>
      </c>
      <c r="C11" s="10" t="s">
        <v>13</v>
      </c>
      <c r="D11" s="14">
        <v>1.0900000000000001</v>
      </c>
      <c r="E11" s="16">
        <f>Tabelle1[[#This Row],[Qty]]*Tabelle1[[#This Row],[each]]</f>
        <v>1.0900000000000001</v>
      </c>
      <c r="F11" s="13" t="s">
        <v>21</v>
      </c>
    </row>
    <row r="12" spans="1:6" s="6" customFormat="1" ht="27.6" x14ac:dyDescent="0.3">
      <c r="A12" s="3">
        <f t="shared" si="0"/>
        <v>9</v>
      </c>
      <c r="B12" s="3">
        <v>1</v>
      </c>
      <c r="C12" s="10" t="s">
        <v>14</v>
      </c>
      <c r="D12" s="14">
        <v>1.1399999999999999</v>
      </c>
      <c r="E12" s="16">
        <f>Tabelle1[[#This Row],[Qty]]*Tabelle1[[#This Row],[each]]</f>
        <v>1.1399999999999999</v>
      </c>
      <c r="F12" s="10" t="s">
        <v>22</v>
      </c>
    </row>
    <row r="13" spans="1:6" s="6" customFormat="1" ht="27.6" x14ac:dyDescent="0.3">
      <c r="A13" s="3">
        <f t="shared" si="0"/>
        <v>10</v>
      </c>
      <c r="B13" s="3">
        <v>1</v>
      </c>
      <c r="C13" s="10" t="s">
        <v>15</v>
      </c>
      <c r="D13" s="14">
        <v>2.29</v>
      </c>
      <c r="E13" s="16">
        <f>Tabelle1[[#This Row],[Qty]]*Tabelle1[[#This Row],[each]]</f>
        <v>2.29</v>
      </c>
      <c r="F13" s="11" t="s">
        <v>26</v>
      </c>
    </row>
    <row r="14" spans="1:6" s="6" customFormat="1" x14ac:dyDescent="0.3">
      <c r="A14" s="3">
        <f t="shared" si="0"/>
        <v>11</v>
      </c>
      <c r="B14" s="3">
        <v>1</v>
      </c>
      <c r="C14" s="10" t="s">
        <v>9</v>
      </c>
      <c r="D14" s="14">
        <v>0.05</v>
      </c>
      <c r="E14" s="16">
        <f>Tabelle1[[#This Row],[Qty]]*Tabelle1[[#This Row],[each]]</f>
        <v>0.05</v>
      </c>
      <c r="F14" s="10" t="s">
        <v>23</v>
      </c>
    </row>
    <row r="15" spans="1:6" s="6" customFormat="1" x14ac:dyDescent="0.3">
      <c r="A15" s="3">
        <f t="shared" si="0"/>
        <v>12</v>
      </c>
      <c r="B15" s="3">
        <v>1</v>
      </c>
      <c r="C15" s="10" t="s">
        <v>7</v>
      </c>
      <c r="D15" s="14">
        <v>0.05</v>
      </c>
      <c r="E15" s="16">
        <f>Tabelle1[[#This Row],[Qty]]*Tabelle1[[#This Row],[each]]</f>
        <v>0.05</v>
      </c>
      <c r="F15" s="10" t="s">
        <v>23</v>
      </c>
    </row>
    <row r="16" spans="1:6" s="6" customFormat="1" x14ac:dyDescent="0.3">
      <c r="A16" s="3">
        <f t="shared" si="0"/>
        <v>13</v>
      </c>
      <c r="B16" s="3">
        <v>1</v>
      </c>
      <c r="C16" s="10" t="s">
        <v>11</v>
      </c>
      <c r="D16" s="14">
        <v>0.1</v>
      </c>
      <c r="E16" s="16">
        <f>Tabelle1[[#This Row],[Qty]]*Tabelle1[[#This Row],[each]]</f>
        <v>0.1</v>
      </c>
      <c r="F16" s="10" t="s">
        <v>24</v>
      </c>
    </row>
    <row r="17" spans="1:6" s="6" customFormat="1" ht="27.6" x14ac:dyDescent="0.3">
      <c r="A17" s="3">
        <f t="shared" si="0"/>
        <v>14</v>
      </c>
      <c r="B17" s="19">
        <v>1</v>
      </c>
      <c r="C17" s="19" t="s">
        <v>32</v>
      </c>
      <c r="D17" s="20">
        <v>0.1</v>
      </c>
      <c r="E17" s="16">
        <f>Tabelle1[[#This Row],[Qty]]*Tabelle1[[#This Row],[each]]</f>
        <v>0.1</v>
      </c>
      <c r="F17" s="13"/>
    </row>
    <row r="18" spans="1:6" s="6" customFormat="1" x14ac:dyDescent="0.3">
      <c r="A18" s="19">
        <f>A17+1</f>
        <v>15</v>
      </c>
      <c r="B18" s="19"/>
      <c r="C18" s="19" t="s">
        <v>31</v>
      </c>
      <c r="D18" s="20"/>
      <c r="E18" s="21">
        <f>SUM(E4:E17)</f>
        <v>14.95</v>
      </c>
      <c r="F18" s="19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4:4" s="6" customFormat="1" x14ac:dyDescent="0.3">
      <c r="D33" s="7"/>
    </row>
    <row r="34" spans="4:4" s="6" customFormat="1" x14ac:dyDescent="0.3">
      <c r="D34" s="7"/>
    </row>
    <row r="35" spans="4:4" s="6" customFormat="1" x14ac:dyDescent="0.3">
      <c r="D35" s="7"/>
    </row>
    <row r="36" spans="4:4" s="6" customFormat="1" x14ac:dyDescent="0.3">
      <c r="D36" s="7"/>
    </row>
    <row r="37" spans="4:4" s="6" customFormat="1" x14ac:dyDescent="0.3">
      <c r="D37" s="7"/>
    </row>
    <row r="38" spans="4:4" s="6" customFormat="1" x14ac:dyDescent="0.3">
      <c r="D38" s="7"/>
    </row>
    <row r="39" spans="4:4" s="6" customFormat="1" x14ac:dyDescent="0.3">
      <c r="D39" s="7"/>
    </row>
    <row r="40" spans="4:4" s="6" customFormat="1" x14ac:dyDescent="0.3">
      <c r="D40" s="7"/>
    </row>
    <row r="41" spans="4:4" s="6" customFormat="1" x14ac:dyDescent="0.3">
      <c r="D41" s="7"/>
    </row>
    <row r="42" spans="4:4" s="6" customFormat="1" x14ac:dyDescent="0.3">
      <c r="D42" s="7"/>
    </row>
    <row r="43" spans="4:4" s="6" customFormat="1" x14ac:dyDescent="0.3">
      <c r="D43" s="7"/>
    </row>
    <row r="44" spans="4:4" s="6" customFormat="1" x14ac:dyDescent="0.3">
      <c r="D44" s="7"/>
    </row>
    <row r="45" spans="4:4" s="6" customFormat="1" x14ac:dyDescent="0.3">
      <c r="D45" s="7"/>
    </row>
    <row r="46" spans="4:4" s="6" customFormat="1" x14ac:dyDescent="0.3">
      <c r="D46" s="7"/>
    </row>
    <row r="47" spans="4:4" s="6" customFormat="1" x14ac:dyDescent="0.3">
      <c r="D47" s="7"/>
    </row>
    <row r="48" spans="4:4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x14ac:dyDescent="0.3">
      <c r="C123" s="2"/>
      <c r="D123" s="5"/>
      <c r="F123" s="2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</sheetData>
  <mergeCells count="2">
    <mergeCell ref="A1:F1"/>
    <mergeCell ref="A2:F2"/>
  </mergeCells>
  <hyperlinks>
    <hyperlink ref="F13" r:id="rId1" xr:uid="{54E2192B-E056-4069-BC46-133E643D7365}"/>
  </hyperlinks>
  <pageMargins left="0.70866141732283472" right="0.79166666666666663" top="0.78740157480314965" bottom="0.78740157480314965" header="0.31496062992125984" footer="0.31496062992125984"/>
  <pageSetup paperSize="9" orientation="landscape" r:id="rId2"/>
  <headerFooter>
    <oddFooter>&amp;L&amp;"Futura Lt BT,Light"&amp;F
Drafted by Sven Petersen&amp;C&amp;"Futura Lt BT,Light"Page &amp;P of &amp;N&amp;R&amp;"Futura Lt BT,Light"&amp;D &amp;T
Doc.No.: 221-5-01-00.0</oddFooter>
  </headerFooter>
  <ignoredErrors>
    <ignoredError sqref="A4" calculatedColumn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2026-07-21T14:40:27Z</dcterms:modified>
</cp:coreProperties>
</file>